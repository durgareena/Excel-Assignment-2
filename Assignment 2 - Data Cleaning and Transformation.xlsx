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urga\OneDrive\Desktop\"/>
    </mc:Choice>
  </mc:AlternateContent>
  <xr:revisionPtr revIDLastSave="0" documentId="8_{5EF872BF-8607-4479-BA67-C117C4C832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3" i="2"/>
  <c r="D2" i="2"/>
  <c r="D4" i="2"/>
  <c r="D5" i="2"/>
  <c r="D6" i="2"/>
  <c r="D7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</calcChain>
</file>

<file path=xl/sharedStrings.xml><?xml version="1.0" encoding="utf-8"?>
<sst xmlns="http://schemas.openxmlformats.org/spreadsheetml/2006/main" count="165" uniqueCount="129">
  <si>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</si>
  <si>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</si>
  <si>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</si>
  <si>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</si>
  <si>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</si>
  <si>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</si>
  <si>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</si>
  <si>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</si>
  <si>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</si>
  <si>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</si>
  <si>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Nike</t>
  </si>
  <si>
    <t>Fashion</t>
  </si>
  <si>
    <t>03-MAR-US</t>
  </si>
  <si>
    <t>Keurig</t>
  </si>
  <si>
    <t>Kitchen</t>
  </si>
  <si>
    <t>11-APR-US</t>
  </si>
  <si>
    <t>Samsung</t>
  </si>
  <si>
    <t>22-MAY-US</t>
  </si>
  <si>
    <t>North Face</t>
  </si>
  <si>
    <t>07-JUN-UK</t>
  </si>
  <si>
    <t>Sony</t>
  </si>
  <si>
    <t>19-JUL-UK</t>
  </si>
  <si>
    <t>Adidas</t>
  </si>
  <si>
    <t>23-AUG-UK</t>
  </si>
  <si>
    <t>Ninja</t>
  </si>
  <si>
    <t>05-SEP-UK</t>
  </si>
  <si>
    <t>Apple</t>
  </si>
  <si>
    <t>14-OCT-UK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</si>
  <si>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</si>
  <si>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</si>
  <si>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</si>
  <si>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</si>
  <si>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</si>
  <si>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</si>
  <si>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</si>
  <si>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</si>
  <si>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Fitbit</t>
  </si>
  <si>
    <t>16-APR-ES</t>
  </si>
  <si>
    <t>Bose</t>
  </si>
  <si>
    <t>21-AUG-CA</t>
  </si>
  <si>
    <t>Samsonite</t>
  </si>
  <si>
    <t>Accessories</t>
  </si>
  <si>
    <t>20-AUG-CN</t>
  </si>
  <si>
    <t>Huawei</t>
  </si>
  <si>
    <t>27-JAN-IT</t>
  </si>
  <si>
    <t>Asus</t>
  </si>
  <si>
    <t>01-MAR-UK</t>
  </si>
  <si>
    <t>Oakley</t>
  </si>
  <si>
    <t>14-AUG-US</t>
  </si>
  <si>
    <t>Coleman</t>
  </si>
  <si>
    <t>14-MAY-RU</t>
  </si>
  <si>
    <t>Nikon</t>
  </si>
  <si>
    <t>09-JAN-CA</t>
  </si>
  <si>
    <t>Panasonic</t>
  </si>
  <si>
    <t>19-JUL-BR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</si>
  <si>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</si>
  <si>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</si>
  <si>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</si>
  <si>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</si>
  <si>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</si>
  <si>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</si>
  <si>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</si>
  <si>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</si>
  <si>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Zara</t>
  </si>
  <si>
    <t>13-APR-CA</t>
  </si>
  <si>
    <t>Hamilton</t>
  </si>
  <si>
    <t>24-MAY-CA</t>
  </si>
  <si>
    <t>Garmin</t>
  </si>
  <si>
    <t>02-DEC-CA</t>
  </si>
  <si>
    <t>Levi's</t>
  </si>
  <si>
    <t>09-JUL-FR</t>
  </si>
  <si>
    <t>Casio</t>
  </si>
  <si>
    <t>Check for missing values in the 'Price' column. How would you handle products with missing price information?</t>
  </si>
  <si>
    <t>IF(ISBLANK(D2),AVERAGE($D$2:$D$35),D2)</t>
  </si>
  <si>
    <t>If there are products with missing categories, propose a strategy to impute or deal with these missing values effectively.</t>
  </si>
  <si>
    <t>Unknown</t>
  </si>
  <si>
    <t>IF(ISBLANK(F2),"Unknown",F2)</t>
  </si>
  <si>
    <t>1. Handling Missing Values:</t>
  </si>
  <si>
    <t>2. Correcting Inconsistent Data:</t>
  </si>
  <si>
    <t>Identify any inconsistent text formats present in the "Product Name" column.</t>
  </si>
  <si>
    <t>PROPER(TRIM(CLEAN([@[Product Name]])))</t>
  </si>
  <si>
    <t>Laptop</t>
  </si>
  <si>
    <t>Sneakers</t>
  </si>
  <si>
    <t>Coffee Maker</t>
  </si>
  <si>
    <t>Smartphone</t>
  </si>
  <si>
    <t>Backpack</t>
  </si>
  <si>
    <t>Headphones</t>
  </si>
  <si>
    <t>T-Shirt</t>
  </si>
  <si>
    <t>Blender</t>
  </si>
  <si>
    <t>Tablet</t>
  </si>
  <si>
    <t>Hiking Boots</t>
  </si>
  <si>
    <t>Smartwatch</t>
  </si>
  <si>
    <t>Laptop Bag</t>
  </si>
  <si>
    <t>Sunglasses</t>
  </si>
  <si>
    <t>Camping Tent</t>
  </si>
  <si>
    <t>Camera</t>
  </si>
  <si>
    <t>Microwave</t>
  </si>
  <si>
    <t>Fitness Tracker</t>
  </si>
  <si>
    <t>Dress</t>
  </si>
  <si>
    <t>Toaster</t>
  </si>
  <si>
    <t>Jeans</t>
  </si>
  <si>
    <t>Watch</t>
  </si>
  <si>
    <t>Identify any typos present in the "Category" column.</t>
  </si>
  <si>
    <t>Use the find and replace function to standardize the text formats in the "Product</t>
  </si>
  <si>
    <t>Name" column and fix any typos or misspellings in the "Category" column.</t>
  </si>
  <si>
    <t>3. Removing Duplicates:</t>
  </si>
  <si>
    <t>Identify any duplicate rows within the dataset based on the entirety of each row, and</t>
  </si>
  <si>
    <t>remove them if any.</t>
  </si>
  <si>
    <t>4. Splitting and Merging Data:</t>
  </si>
  <si>
    <t>Split the "Product ID" column into two separate columns for " Manufacturing Date"</t>
  </si>
  <si>
    <t>and "Country Code". Remove unnecessary characters, if any.</t>
  </si>
  <si>
    <t>Manufacturing Date</t>
  </si>
  <si>
    <t>Country code</t>
  </si>
  <si>
    <t>Manufacturing = LEFT([@[Product ID]],2)</t>
  </si>
  <si>
    <t>country code = RIGHT([@[Product ID]],2)</t>
  </si>
  <si>
    <t>Merge the "Brand Name" and "Product Name" columns into one column named</t>
  </si>
  <si>
    <t>Product Brand.</t>
  </si>
  <si>
    <t>Product brand</t>
  </si>
  <si>
    <t>CONCAT([@[Brand Name]]," ",[@[Product Name]])</t>
  </si>
  <si>
    <t>5. Number Formatting:</t>
  </si>
  <si>
    <t>Format the data type of the "Price" column to a currency format.</t>
  </si>
  <si>
    <t>currency</t>
  </si>
  <si>
    <t>format.</t>
  </si>
  <si>
    <t>Format the "Manufacturing Date" column to display dates in the "DD-MM-YYYY "</t>
  </si>
  <si>
    <t>Custom date dd-mm-yyyy</t>
  </si>
  <si>
    <t>6. Conditional Formatting:</t>
  </si>
  <si>
    <t>custom rule for conditional formatting in the "Category" column to highlight cells where</t>
  </si>
  <si>
    <t>the category is "Electronics."</t>
  </si>
  <si>
    <t>Apply data bar or color scales conditional formatting in the "Price" column. ● Create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</si>
</sst>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67" formatCode="[$-14009]dd/mm/yyyy;@"/>
  </numFmts>
  <fonts count="8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5" fillId="4" borderId="0" xfId="0" applyFont="1" applyFill="1" applyAlignment="1">
      <alignment horizontal="left"/>
    </xf>
    <xf numFmtId="0" fontId="4" fillId="0" borderId="0" xfId="0" applyFont="1"/>
    <xf numFmtId="0" fontId="0" fillId="5" borderId="0" xfId="0" applyFill="1"/>
    <xf numFmtId="0" fontId="5" fillId="0" borderId="0" xfId="0" applyFont="1"/>
    <xf numFmtId="0" fontId="6" fillId="5" borderId="0" xfId="0" applyFont="1" applyFill="1"/>
    <xf numFmtId="0" fontId="6" fillId="4" borderId="0" xfId="0" applyFont="1" applyFill="1" applyAlignment="1">
      <alignment horizontal="left"/>
    </xf>
    <xf numFmtId="0" fontId="6" fillId="0" borderId="0" xfId="0" applyFon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0" fontId="0" fillId="0" borderId="0" xfId="0" applyFill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  <xf numFmtId="167" fontId="1" fillId="2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6" fillId="0" borderId="0" xfId="0" applyNumberFormat="1" applyFont="1" applyAlignment="1">
      <alignment horizontal="center"/>
    </xf>
    <xf numFmtId="167" fontId="0" fillId="5" borderId="0" xfId="0" applyNumberFormat="1" applyFill="1" applyAlignment="1">
      <alignment horizontal="left"/>
    </xf>
    <xf numFmtId="167" fontId="6" fillId="5" borderId="0" xfId="0" applyNumberFormat="1" applyFont="1" applyFill="1" applyAlignment="1">
      <alignment horizontal="left"/>
    </xf>
    <xf numFmtId="167" fontId="2" fillId="0" borderId="0" xfId="0" applyNumberFormat="1" applyFont="1" applyAlignment="1">
      <alignment horizontal="center"/>
    </xf>
    <xf numFmtId="167" fontId="2" fillId="3" borderId="0" xfId="0" applyNumberFormat="1" applyFont="1" applyFill="1" applyAlignment="1">
      <alignment horizontal="center"/>
    </xf>
    <xf numFmtId="167" fontId="6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left"/>
    </xf>
  </cellXfs>
  <cellStyles count="1">
    <cellStyle name="Normal" xfId="0" builtinId="0"/>
  </cellStyles>
  <dxfs count="29">
    <dxf>
      <font>
        <color theme="1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[$-14009]dd/mm/yyyy;@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527050</xdr:colOff>
      <xdr:row>24</xdr:row>
      <xdr:rowOff>114300</xdr:rowOff>
    </xdr:from>
    <xdr:to>
      <xdr:col>12</xdr:col>
      <xdr:colOff>609600</xdr:colOff>
      <xdr:row>31</xdr:row>
      <xdr:rowOff>149829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F8357-F8F2-6A84-12EB-F549EE83E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0" y="4838700"/>
          <a:ext cx="2730500" cy="1413479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514351</xdr:colOff>
      <xdr:row>17</xdr:row>
      <xdr:rowOff>177800</xdr:rowOff>
    </xdr:from>
    <xdr:to>
      <xdr:col>12</xdr:col>
      <xdr:colOff>666750</xdr:colOff>
      <xdr:row>24</xdr:row>
      <xdr:rowOff>9149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BDF4E7-3CC3-21F9-9BFC-75E1F9EE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1" y="3524250"/>
          <a:ext cx="2800349" cy="12092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10</xdr:col>
      <xdr:colOff>571500</xdr:colOff>
      <xdr:row>49</xdr:row>
      <xdr:rowOff>135503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4D5CFC-D69D-55E9-FBCD-6FD38A47A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95950" y="7480300"/>
          <a:ext cx="3219450" cy="23008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1</xdr:rowOff>
    </xdr:from>
    <xdr:to>
      <xdr:col>3</xdr:col>
      <xdr:colOff>1422400</xdr:colOff>
      <xdr:row>64</xdr:row>
      <xdr:rowOff>126347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9D1CB6-8C19-B7FA-BC86-08B9E3C1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2650" y="9842501"/>
          <a:ext cx="3587750" cy="288224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E5152-40A0-4C96-99CF-17CEE30FF68C}" name="Table1" displayName="Table1" ref="A1:I32" totalsRowShown="0" headerRowDxfId="11" dataDxfId="10">
  <autoFilter ref="A1:I32" xr:uid="{D5BE5152-40A0-4C96-99CF-17CEE30FF68C}"/>
  <tableColumns count="9">
    <tableColumn id="1" xr3:uid="{1D66966C-6390-4EC6-81AB-3F55D1743282}" name="Product ID" dataDxfId="3"/>
    <tableColumn id="11" xr3:uid="{E3339E92-0AFC-4FC0-9EEB-273E4ED62674}" name="Manufacturing Date" dataDxfId="1"/>
    <tableColumn id="10" xr3:uid="{02A3DB53-1C68-4850-A7BD-5619E6D39FFF}" name="Country code" dataDxfId="2">
      <calculatedColumnFormula>RIGHT(Table1[[#This Row],[Product ID]],2)</calculatedColumnFormula>
    </tableColumn>
    <tableColumn id="12" xr3:uid="{DA4D8153-46CD-4DB2-B1B0-6F666276CA48}" name="Product brand" dataDxfId="7">
      <calculatedColumnFormula>_xlfn.CONCAT(Table1[[#This Row],[Brand Name]]," ",Table1[[#This Row],[Product Name]])</calculatedColumnFormula>
    </tableColumn>
    <tableColumn id="2" xr3:uid="{856C1344-DD79-464A-A6DC-A7BE394B6C85}" name="Product Name" dataDxfId="9"/>
    <tableColumn id="3" xr3:uid="{234C48F7-4141-45FB-917E-2EFAE1EFE0DB}" name="Brand Name" dataDxfId="6"/>
    <tableColumn id="4" xr3:uid="{EAA08115-B3B2-40F8-B161-F43B428D3C5B}" name="Price ($)" dataDxfId="4"/>
    <tableColumn id="5" xr3:uid="{2B320C0E-6666-42DD-AF40-EE2B74855A39}" name="Quantity" dataDxfId="5"/>
    <tableColumn id="6" xr3:uid="{8D08CD1B-1CC3-407C-B9BB-24231F776424}" name="Category" dataDxfId="8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workbookViewId="0">
      <selection activeCell="B51" sqref="B51"/>
    </sheetView>
  </sheetViews>
  <sheetFormatPr defaultColWidth="12.6328125" defaultRowHeight="15" customHeight="1"/>
  <cols>
    <col min="1" max="1" width="12.6328125" customWidth="1"/>
    <col min="2" max="2" width="17.6328125" style="21" bestFit="1" customWidth="1"/>
    <col min="3" max="3" width="13.36328125" customWidth="1"/>
    <col min="4" max="4" width="21.1796875" bestFit="1" customWidth="1"/>
    <col min="5" max="6" width="12.6328125" customWidth="1"/>
    <col min="7" max="7" width="12.6328125" style="19" customWidth="1"/>
  </cols>
  <sheetData>
    <row r="1" spans="1:17" ht="15.75" customHeight="1">
      <c r="A1" s="1" t="s">
        <v>0</v>
      </c>
      <c r="B1" s="20" t="s">
        <v>111</v>
      </c>
      <c r="C1" s="1" t="s">
        <v>112</v>
      </c>
      <c r="D1" s="1" t="s">
        <v>117</v>
      </c>
      <c r="E1" s="12" t="s">
        <v>1</v>
      </c>
      <c r="F1" s="1" t="s">
        <v>2</v>
      </c>
      <c r="G1" s="16" t="s">
        <v>3</v>
      </c>
      <c r="H1" s="1" t="s">
        <v>4</v>
      </c>
      <c r="I1" s="1" t="s">
        <v>5</v>
      </c>
      <c r="J1" s="8" t="s">
        <v>77</v>
      </c>
    </row>
    <row r="2" spans="1:17" ht="15.75" customHeight="1">
      <c r="A2" s="2" t="s">
        <v>6</v>
      </c>
      <c r="B2" s="25">
        <v>46050</v>
      </c>
      <c r="C2" s="2" t="str">
        <f>RIGHT(Table1[[#This Row],[Product ID]],2)</f>
        <v>US</v>
      </c>
      <c r="D2" s="2" t="str">
        <f>_xlfn.CONCAT(Table1[[#This Row],[Brand Name]]," ",Table1[[#This Row],[Product Name]])</f>
        <v>Dell Laptop</v>
      </c>
      <c r="E2" s="13" t="s">
        <v>81</v>
      </c>
      <c r="F2" s="2" t="s">
        <v>7</v>
      </c>
      <c r="G2" s="17">
        <v>1000</v>
      </c>
      <c r="H2" s="2">
        <v>30</v>
      </c>
      <c r="I2" s="2" t="s">
        <v>8</v>
      </c>
      <c r="J2" s="10" t="s">
        <v>72</v>
      </c>
      <c r="K2" s="5"/>
      <c r="L2" s="5"/>
      <c r="M2" s="5"/>
      <c r="N2" s="5"/>
      <c r="O2" s="5"/>
      <c r="P2" s="5"/>
      <c r="Q2" s="5"/>
    </row>
    <row r="3" spans="1:17" ht="15.75" customHeight="1">
      <c r="A3" s="3" t="s">
        <v>9</v>
      </c>
      <c r="B3" s="26">
        <v>46068</v>
      </c>
      <c r="C3" s="3" t="str">
        <f>RIGHT(Table1[[#This Row],[Product ID]],2)</f>
        <v>US</v>
      </c>
      <c r="D3" s="3" t="str">
        <f>_xlfn.CONCAT(Table1[[#This Row],[Brand Name]]," ",Table1[[#This Row],[Product Name]])</f>
        <v>Nike Sneakers</v>
      </c>
      <c r="E3" s="14" t="s">
        <v>82</v>
      </c>
      <c r="F3" s="3" t="s">
        <v>10</v>
      </c>
      <c r="G3" s="18">
        <v>80</v>
      </c>
      <c r="H3" s="3">
        <v>15</v>
      </c>
      <c r="I3" s="3" t="s">
        <v>11</v>
      </c>
      <c r="J3" s="4"/>
      <c r="K3" s="2"/>
      <c r="L3" s="2"/>
      <c r="M3" s="2"/>
      <c r="N3" s="2"/>
      <c r="O3" s="2"/>
      <c r="P3" s="2"/>
      <c r="Q3" s="2"/>
    </row>
    <row r="4" spans="1:17" ht="15.75" customHeight="1">
      <c r="A4" s="2" t="s">
        <v>12</v>
      </c>
      <c r="B4" s="25">
        <v>46084</v>
      </c>
      <c r="C4" s="2" t="str">
        <f>RIGHT(Table1[[#This Row],[Product ID]],2)</f>
        <v>US</v>
      </c>
      <c r="D4" s="2" t="str">
        <f>_xlfn.CONCAT(Table1[[#This Row],[Brand Name]]," ",Table1[[#This Row],[Product Name]])</f>
        <v>Keurig Coffee Maker</v>
      </c>
      <c r="E4" s="13" t="s">
        <v>83</v>
      </c>
      <c r="F4" s="2" t="s">
        <v>13</v>
      </c>
      <c r="G4" s="17">
        <v>130</v>
      </c>
      <c r="H4" s="2">
        <v>40</v>
      </c>
      <c r="I4" s="2" t="s">
        <v>14</v>
      </c>
      <c r="J4" t="s">
        <v>73</v>
      </c>
      <c r="M4" s="2"/>
      <c r="N4" s="2"/>
      <c r="O4" s="2"/>
      <c r="P4" s="2"/>
      <c r="Q4" s="2"/>
    </row>
    <row r="5" spans="1:17" ht="15.75" customHeight="1">
      <c r="A5" s="3" t="s">
        <v>15</v>
      </c>
      <c r="B5" s="26">
        <v>46123</v>
      </c>
      <c r="C5" s="3" t="str">
        <f>RIGHT(Table1[[#This Row],[Product ID]],2)</f>
        <v>US</v>
      </c>
      <c r="D5" s="3" t="str">
        <f>_xlfn.CONCAT(Table1[[#This Row],[Brand Name]]," ",Table1[[#This Row],[Product Name]])</f>
        <v>Samsung Smartphone</v>
      </c>
      <c r="E5" s="14" t="s">
        <v>84</v>
      </c>
      <c r="F5" s="3" t="s">
        <v>16</v>
      </c>
      <c r="G5" s="18">
        <v>900</v>
      </c>
      <c r="H5" s="3">
        <v>25</v>
      </c>
      <c r="I5" s="3" t="s">
        <v>8</v>
      </c>
      <c r="J5" s="2"/>
      <c r="K5" s="6"/>
      <c r="L5" s="2"/>
      <c r="M5" s="2"/>
      <c r="N5" s="2"/>
      <c r="O5" s="2"/>
      <c r="P5" s="2"/>
      <c r="Q5" s="2"/>
    </row>
    <row r="6" spans="1:17" ht="15.75" customHeight="1">
      <c r="A6" s="2" t="s">
        <v>17</v>
      </c>
      <c r="B6" s="25">
        <v>46164</v>
      </c>
      <c r="C6" s="2" t="str">
        <f>RIGHT(Table1[[#This Row],[Product ID]],2)</f>
        <v>US</v>
      </c>
      <c r="D6" s="2" t="str">
        <f>_xlfn.CONCAT(Table1[[#This Row],[Brand Name]]," ",Table1[[#This Row],[Product Name]])</f>
        <v>North Face Backpack</v>
      </c>
      <c r="E6" s="13" t="s">
        <v>85</v>
      </c>
      <c r="F6" s="2" t="s">
        <v>18</v>
      </c>
      <c r="G6" s="17">
        <v>70</v>
      </c>
      <c r="H6" s="2">
        <v>20</v>
      </c>
      <c r="I6" s="2" t="s">
        <v>75</v>
      </c>
      <c r="J6" s="7" t="s">
        <v>74</v>
      </c>
      <c r="K6" s="7"/>
      <c r="L6" s="7"/>
      <c r="M6" s="7"/>
      <c r="N6" s="7"/>
      <c r="O6" s="7"/>
      <c r="P6" s="7"/>
      <c r="Q6" s="7"/>
    </row>
    <row r="7" spans="1:17" ht="15.75" customHeight="1">
      <c r="A7" s="3" t="s">
        <v>19</v>
      </c>
      <c r="B7" s="26">
        <v>46180</v>
      </c>
      <c r="C7" s="3" t="str">
        <f>RIGHT(Table1[[#This Row],[Product ID]],2)</f>
        <v>UK</v>
      </c>
      <c r="D7" s="3" t="str">
        <f>_xlfn.CONCAT(Table1[[#This Row],[Brand Name]]," ",Table1[[#This Row],[Product Name]])</f>
        <v>Sony Headphones</v>
      </c>
      <c r="E7" s="14" t="s">
        <v>86</v>
      </c>
      <c r="F7" s="3" t="s">
        <v>20</v>
      </c>
      <c r="G7" s="18">
        <v>309.35483870967744</v>
      </c>
      <c r="H7" s="3">
        <v>45</v>
      </c>
      <c r="I7" s="3" t="s">
        <v>8</v>
      </c>
    </row>
    <row r="8" spans="1:17" ht="15.75" customHeight="1">
      <c r="A8" s="2" t="s">
        <v>21</v>
      </c>
      <c r="B8" s="25">
        <v>46222</v>
      </c>
      <c r="C8" s="2" t="str">
        <f>RIGHT(Table1[[#This Row],[Product ID]],2)</f>
        <v>UK</v>
      </c>
      <c r="D8" s="2" t="str">
        <f>_xlfn.CONCAT(Table1[[#This Row],[Brand Name]]," ",Table1[[#This Row],[Product Name]])</f>
        <v>Adidas T-Shirt</v>
      </c>
      <c r="E8" s="13" t="s">
        <v>87</v>
      </c>
      <c r="F8" s="2" t="s">
        <v>22</v>
      </c>
      <c r="G8" s="17">
        <v>30</v>
      </c>
      <c r="H8" s="2">
        <v>5</v>
      </c>
      <c r="I8" s="2" t="s">
        <v>11</v>
      </c>
      <c r="J8" t="s">
        <v>76</v>
      </c>
    </row>
    <row r="9" spans="1:17" ht="15.75" customHeight="1">
      <c r="A9" s="3" t="s">
        <v>23</v>
      </c>
      <c r="B9" s="26">
        <v>46257</v>
      </c>
      <c r="C9" s="3" t="str">
        <f>RIGHT(Table1[[#This Row],[Product ID]],2)</f>
        <v>UK</v>
      </c>
      <c r="D9" s="3" t="str">
        <f>_xlfn.CONCAT(Table1[[#This Row],[Brand Name]]," ",Table1[[#This Row],[Product Name]])</f>
        <v>Ninja Blender</v>
      </c>
      <c r="E9" s="14" t="s">
        <v>88</v>
      </c>
      <c r="F9" s="3" t="s">
        <v>24</v>
      </c>
      <c r="G9" s="18">
        <v>90</v>
      </c>
      <c r="H9" s="3">
        <v>35</v>
      </c>
      <c r="I9" s="3" t="s">
        <v>14</v>
      </c>
    </row>
    <row r="10" spans="1:17" ht="15.75" customHeight="1">
      <c r="A10" s="2" t="s">
        <v>25</v>
      </c>
      <c r="B10" s="25">
        <v>46270</v>
      </c>
      <c r="C10" s="2" t="str">
        <f>RIGHT(Table1[[#This Row],[Product ID]],2)</f>
        <v>UK</v>
      </c>
      <c r="D10" s="2" t="str">
        <f>_xlfn.CONCAT(Table1[[#This Row],[Brand Name]]," ",Table1[[#This Row],[Product Name]])</f>
        <v>Apple Tablet</v>
      </c>
      <c r="E10" s="13" t="s">
        <v>89</v>
      </c>
      <c r="F10" s="2" t="s">
        <v>26</v>
      </c>
      <c r="G10" s="17">
        <v>500</v>
      </c>
      <c r="H10" s="2">
        <v>50</v>
      </c>
      <c r="I10" s="2" t="s">
        <v>8</v>
      </c>
      <c r="J10" s="8" t="s">
        <v>78</v>
      </c>
    </row>
    <row r="11" spans="1:17" ht="15.75" customHeight="1">
      <c r="A11" s="3" t="s">
        <v>27</v>
      </c>
      <c r="B11" s="26">
        <v>46309</v>
      </c>
      <c r="C11" s="3" t="str">
        <f>RIGHT(Table1[[#This Row],[Product ID]],2)</f>
        <v>UK</v>
      </c>
      <c r="D11" s="3" t="str">
        <f>_xlfn.CONCAT(Table1[[#This Row],[Brand Name]]," ",Table1[[#This Row],[Product Name]])</f>
        <v>Timberland Hiking Boots</v>
      </c>
      <c r="E11" s="14" t="s">
        <v>90</v>
      </c>
      <c r="F11" s="3" t="s">
        <v>28</v>
      </c>
      <c r="G11" s="18">
        <v>130</v>
      </c>
      <c r="H11" s="3">
        <v>10</v>
      </c>
      <c r="I11" s="3" t="s">
        <v>29</v>
      </c>
      <c r="J11" s="9" t="s">
        <v>79</v>
      </c>
      <c r="K11" s="7"/>
      <c r="L11" s="7"/>
      <c r="M11" s="7"/>
      <c r="N11" s="7"/>
      <c r="O11" s="7"/>
    </row>
    <row r="12" spans="1:17" ht="15.75" customHeight="1">
      <c r="A12" s="2" t="s">
        <v>30</v>
      </c>
      <c r="B12" s="25">
        <v>46190</v>
      </c>
      <c r="C12" s="2" t="str">
        <f>RIGHT(Table1[[#This Row],[Product ID]],2)</f>
        <v>IN</v>
      </c>
      <c r="D12" s="2" t="str">
        <f>_xlfn.CONCAT(Table1[[#This Row],[Brand Name]]," ",Table1[[#This Row],[Product Name]])</f>
        <v>HP Laptop</v>
      </c>
      <c r="E12" s="13" t="s">
        <v>81</v>
      </c>
      <c r="F12" s="2" t="s">
        <v>31</v>
      </c>
      <c r="G12" s="17">
        <v>950</v>
      </c>
      <c r="H12" s="2">
        <v>25</v>
      </c>
      <c r="I12" s="2" t="s">
        <v>8</v>
      </c>
    </row>
    <row r="13" spans="1:17" ht="15.75" customHeight="1">
      <c r="A13" s="3" t="s">
        <v>32</v>
      </c>
      <c r="B13" s="26">
        <v>46351</v>
      </c>
      <c r="C13" s="3" t="str">
        <f>RIGHT(Table1[[#This Row],[Product ID]],2)</f>
        <v>AU</v>
      </c>
      <c r="D13" s="3" t="str">
        <f>_xlfn.CONCAT(Table1[[#This Row],[Brand Name]]," ",Table1[[#This Row],[Product Name]])</f>
        <v>Adidas Sneakers</v>
      </c>
      <c r="E13" s="14" t="s">
        <v>82</v>
      </c>
      <c r="F13" s="3" t="s">
        <v>22</v>
      </c>
      <c r="G13" s="18">
        <v>90</v>
      </c>
      <c r="H13" s="3">
        <v>40</v>
      </c>
      <c r="I13" s="3" t="s">
        <v>75</v>
      </c>
      <c r="J13" s="11" t="s">
        <v>80</v>
      </c>
    </row>
    <row r="14" spans="1:17" ht="15.75" customHeight="1">
      <c r="A14" s="2" t="s">
        <v>33</v>
      </c>
      <c r="B14" s="25">
        <v>46364</v>
      </c>
      <c r="C14" s="2" t="str">
        <f>RIGHT(Table1[[#This Row],[Product ID]],2)</f>
        <v>DE</v>
      </c>
      <c r="D14" s="2" t="str">
        <f>_xlfn.CONCAT(Table1[[#This Row],[Brand Name]]," ",Table1[[#This Row],[Product Name]])</f>
        <v>Nespresso Coffee Maker</v>
      </c>
      <c r="E14" s="13" t="s">
        <v>83</v>
      </c>
      <c r="F14" s="2" t="s">
        <v>34</v>
      </c>
      <c r="G14" s="17">
        <v>120</v>
      </c>
      <c r="H14" s="2">
        <v>35</v>
      </c>
      <c r="I14" s="2" t="s">
        <v>75</v>
      </c>
    </row>
    <row r="15" spans="1:17" ht="15.75" customHeight="1">
      <c r="A15" s="3" t="s">
        <v>35</v>
      </c>
      <c r="B15" s="26">
        <v>46071</v>
      </c>
      <c r="C15" s="3" t="str">
        <f>RIGHT(Table1[[#This Row],[Product ID]],2)</f>
        <v>CA</v>
      </c>
      <c r="D15" s="3" t="str">
        <f>_xlfn.CONCAT(Table1[[#This Row],[Brand Name]]," ",Table1[[#This Row],[Product Name]])</f>
        <v>Fitbit Smartwatch</v>
      </c>
      <c r="E15" s="14" t="s">
        <v>91</v>
      </c>
      <c r="F15" s="3" t="s">
        <v>36</v>
      </c>
      <c r="G15" s="18">
        <v>150</v>
      </c>
      <c r="H15" s="3">
        <v>15</v>
      </c>
      <c r="I15" s="3" t="s">
        <v>8</v>
      </c>
      <c r="J15" s="7" t="s">
        <v>102</v>
      </c>
      <c r="K15" s="7"/>
      <c r="L15" s="7"/>
      <c r="M15" s="7"/>
    </row>
    <row r="16" spans="1:17" ht="15.75" customHeight="1">
      <c r="A16" s="2" t="s">
        <v>37</v>
      </c>
      <c r="B16" s="25">
        <v>46128</v>
      </c>
      <c r="C16" s="2" t="str">
        <f>RIGHT(Table1[[#This Row],[Product ID]],2)</f>
        <v>ES</v>
      </c>
      <c r="D16" s="2" t="str">
        <f>_xlfn.CONCAT(Table1[[#This Row],[Brand Name]]," ",Table1[[#This Row],[Product Name]])</f>
        <v>Bose Headphones</v>
      </c>
      <c r="E16" s="13" t="s">
        <v>86</v>
      </c>
      <c r="F16" s="2" t="s">
        <v>38</v>
      </c>
      <c r="G16" s="17">
        <v>250</v>
      </c>
      <c r="H16" s="2">
        <v>20</v>
      </c>
      <c r="I16" s="2" t="s">
        <v>8</v>
      </c>
      <c r="J16" s="7" t="s">
        <v>103</v>
      </c>
      <c r="K16" s="7"/>
      <c r="L16" s="7"/>
      <c r="M16" s="7"/>
      <c r="N16" s="7"/>
    </row>
    <row r="17" spans="1:14" ht="15.75" customHeight="1">
      <c r="A17" s="3" t="s">
        <v>39</v>
      </c>
      <c r="B17" s="26">
        <v>46255</v>
      </c>
      <c r="C17" s="3" t="str">
        <f>RIGHT(Table1[[#This Row],[Product ID]],2)</f>
        <v>CA</v>
      </c>
      <c r="D17" s="3" t="str">
        <f>_xlfn.CONCAT(Table1[[#This Row],[Brand Name]]," ",Table1[[#This Row],[Product Name]])</f>
        <v>Samsonite Laptop Bag</v>
      </c>
      <c r="E17" s="14" t="s">
        <v>92</v>
      </c>
      <c r="F17" s="3" t="s">
        <v>40</v>
      </c>
      <c r="G17" s="18">
        <v>50</v>
      </c>
      <c r="H17" s="3">
        <v>35</v>
      </c>
      <c r="I17" s="3" t="s">
        <v>41</v>
      </c>
      <c r="J17" s="7" t="s">
        <v>104</v>
      </c>
      <c r="K17" s="7"/>
      <c r="L17" s="7"/>
      <c r="M17" s="7"/>
      <c r="N17" s="7"/>
    </row>
    <row r="18" spans="1:14" ht="15.75" customHeight="1">
      <c r="A18" s="2" t="s">
        <v>42</v>
      </c>
      <c r="B18" s="25">
        <v>46254</v>
      </c>
      <c r="C18" s="2" t="str">
        <f>RIGHT(Table1[[#This Row],[Product ID]],2)</f>
        <v>CN</v>
      </c>
      <c r="D18" s="2" t="str">
        <f>_xlfn.CONCAT(Table1[[#This Row],[Brand Name]]," ",Table1[[#This Row],[Product Name]])</f>
        <v>Huawei Smartwatch</v>
      </c>
      <c r="E18" s="13" t="s">
        <v>91</v>
      </c>
      <c r="F18" s="2" t="s">
        <v>43</v>
      </c>
      <c r="G18" s="17">
        <v>160</v>
      </c>
      <c r="H18" s="2">
        <v>15</v>
      </c>
      <c r="I18" s="2" t="s">
        <v>8</v>
      </c>
    </row>
    <row r="19" spans="1:14" ht="15.75" customHeight="1">
      <c r="A19" s="3" t="s">
        <v>44</v>
      </c>
      <c r="B19" s="26">
        <v>46049</v>
      </c>
      <c r="C19" s="3" t="str">
        <f>RIGHT(Table1[[#This Row],[Product ID]],2)</f>
        <v>IT</v>
      </c>
      <c r="D19" s="3" t="str">
        <f>_xlfn.CONCAT(Table1[[#This Row],[Brand Name]]," ",Table1[[#This Row],[Product Name]])</f>
        <v>Asus Laptop</v>
      </c>
      <c r="E19" s="14" t="s">
        <v>81</v>
      </c>
      <c r="F19" s="3" t="s">
        <v>45</v>
      </c>
      <c r="G19" s="18">
        <v>980</v>
      </c>
      <c r="H19" s="3">
        <v>10</v>
      </c>
      <c r="I19" s="3" t="s">
        <v>8</v>
      </c>
    </row>
    <row r="20" spans="1:14" ht="15.75" customHeight="1">
      <c r="A20" s="2" t="s">
        <v>46</v>
      </c>
      <c r="B20" s="25">
        <v>46082</v>
      </c>
      <c r="C20" s="2" t="str">
        <f>RIGHT(Table1[[#This Row],[Product ID]],2)</f>
        <v>UK</v>
      </c>
      <c r="D20" s="2" t="str">
        <f>_xlfn.CONCAT(Table1[[#This Row],[Brand Name]]," ",Table1[[#This Row],[Product Name]])</f>
        <v>Oakley Sunglasses</v>
      </c>
      <c r="E20" s="13" t="s">
        <v>93</v>
      </c>
      <c r="F20" s="2" t="s">
        <v>47</v>
      </c>
      <c r="G20" s="17">
        <v>150</v>
      </c>
      <c r="H20" s="2">
        <v>15</v>
      </c>
      <c r="I20" s="2" t="s">
        <v>11</v>
      </c>
    </row>
    <row r="21" spans="1:14" ht="15.75" customHeight="1">
      <c r="A21" s="3" t="s">
        <v>48</v>
      </c>
      <c r="B21" s="26">
        <v>46248</v>
      </c>
      <c r="C21" s="3" t="str">
        <f>RIGHT(Table1[[#This Row],[Product ID]],2)</f>
        <v>US</v>
      </c>
      <c r="D21" s="3" t="str">
        <f>_xlfn.CONCAT(Table1[[#This Row],[Brand Name]]," ",Table1[[#This Row],[Product Name]])</f>
        <v>Coleman Camping Tent</v>
      </c>
      <c r="E21" s="14" t="s">
        <v>94</v>
      </c>
      <c r="F21" s="3" t="s">
        <v>49</v>
      </c>
      <c r="G21" s="18">
        <v>309.35483870967744</v>
      </c>
      <c r="H21" s="3">
        <v>10</v>
      </c>
      <c r="I21" s="3" t="s">
        <v>29</v>
      </c>
    </row>
    <row r="22" spans="1:14" ht="15.75" customHeight="1">
      <c r="A22" s="2" t="s">
        <v>50</v>
      </c>
      <c r="B22" s="25">
        <v>46156</v>
      </c>
      <c r="C22" s="2" t="str">
        <f>RIGHT(Table1[[#This Row],[Product ID]],2)</f>
        <v>RU</v>
      </c>
      <c r="D22" s="2" t="str">
        <f>_xlfn.CONCAT(Table1[[#This Row],[Brand Name]]," ",Table1[[#This Row],[Product Name]])</f>
        <v>Nikon Camera</v>
      </c>
      <c r="E22" s="13" t="s">
        <v>95</v>
      </c>
      <c r="F22" s="2" t="s">
        <v>51</v>
      </c>
      <c r="G22" s="17">
        <v>700</v>
      </c>
      <c r="H22" s="2">
        <v>50</v>
      </c>
      <c r="I22" s="2" t="s">
        <v>8</v>
      </c>
    </row>
    <row r="23" spans="1:14" ht="15.75" customHeight="1">
      <c r="A23" s="3" t="s">
        <v>52</v>
      </c>
      <c r="B23" s="26">
        <v>46031</v>
      </c>
      <c r="C23" s="3" t="str">
        <f>RIGHT(Table1[[#This Row],[Product ID]],2)</f>
        <v>CA</v>
      </c>
      <c r="D23" s="3" t="str">
        <f>_xlfn.CONCAT(Table1[[#This Row],[Brand Name]]," ",Table1[[#This Row],[Product Name]])</f>
        <v>Panasonic Microwave</v>
      </c>
      <c r="E23" s="14" t="s">
        <v>96</v>
      </c>
      <c r="F23" s="3" t="s">
        <v>53</v>
      </c>
      <c r="G23" s="18">
        <v>80</v>
      </c>
      <c r="H23" s="3">
        <v>20</v>
      </c>
      <c r="I23" s="3" t="s">
        <v>14</v>
      </c>
    </row>
    <row r="24" spans="1:14" ht="15.75" customHeight="1">
      <c r="A24" s="2" t="s">
        <v>54</v>
      </c>
      <c r="B24" s="25">
        <v>46222</v>
      </c>
      <c r="C24" s="2" t="str">
        <f>RIGHT(Table1[[#This Row],[Product ID]],2)</f>
        <v>BR</v>
      </c>
      <c r="D24" s="2" t="str">
        <f>_xlfn.CONCAT(Table1[[#This Row],[Brand Name]]," ",Table1[[#This Row],[Product Name]])</f>
        <v>Xiaomi Fitness Tracker</v>
      </c>
      <c r="E24" s="13" t="s">
        <v>97</v>
      </c>
      <c r="F24" s="2" t="s">
        <v>55</v>
      </c>
      <c r="G24" s="17">
        <v>150</v>
      </c>
      <c r="H24" s="2">
        <v>30</v>
      </c>
      <c r="I24" s="2" t="s">
        <v>75</v>
      </c>
    </row>
    <row r="25" spans="1:14" ht="15.75" customHeight="1">
      <c r="A25" s="2" t="s">
        <v>56</v>
      </c>
      <c r="B25" s="25">
        <v>46294</v>
      </c>
      <c r="C25" s="2" t="str">
        <f>RIGHT(Table1[[#This Row],[Product ID]],2)</f>
        <v>CA</v>
      </c>
      <c r="D25" s="2" t="str">
        <f>_xlfn.CONCAT(Table1[[#This Row],[Brand Name]]," ",Table1[[#This Row],[Product Name]])</f>
        <v>Google Smartphone</v>
      </c>
      <c r="E25" s="13" t="s">
        <v>84</v>
      </c>
      <c r="F25" s="2" t="s">
        <v>57</v>
      </c>
      <c r="G25" s="17">
        <v>800</v>
      </c>
      <c r="H25" s="2">
        <v>45</v>
      </c>
      <c r="I25" s="2" t="s">
        <v>8</v>
      </c>
    </row>
    <row r="26" spans="1:14" ht="15.75" customHeight="1">
      <c r="A26" s="3" t="s">
        <v>58</v>
      </c>
      <c r="B26" s="26">
        <v>46176</v>
      </c>
      <c r="C26" s="3" t="str">
        <f>RIGHT(Table1[[#This Row],[Product ID]],2)</f>
        <v>CA</v>
      </c>
      <c r="D26" s="3" t="str">
        <f>_xlfn.CONCAT(Table1[[#This Row],[Brand Name]]," ",Table1[[#This Row],[Product Name]])</f>
        <v>Ray-Ban Sunglasses</v>
      </c>
      <c r="E26" s="14" t="s">
        <v>93</v>
      </c>
      <c r="F26" s="3" t="s">
        <v>59</v>
      </c>
      <c r="G26" s="18">
        <v>309.35483870967744</v>
      </c>
      <c r="H26" s="3">
        <v>25</v>
      </c>
      <c r="I26" s="3" t="s">
        <v>11</v>
      </c>
    </row>
    <row r="27" spans="1:14" ht="15.75" customHeight="1">
      <c r="A27" s="2" t="s">
        <v>60</v>
      </c>
      <c r="B27" s="25">
        <v>46214</v>
      </c>
      <c r="C27" s="2" t="str">
        <f>RIGHT(Table1[[#This Row],[Product ID]],2)</f>
        <v>CA</v>
      </c>
      <c r="D27" s="2" t="str">
        <f>_xlfn.CONCAT(Table1[[#This Row],[Brand Name]]," ",Table1[[#This Row],[Product Name]])</f>
        <v>Vitamix Blender</v>
      </c>
      <c r="E27" s="13" t="s">
        <v>88</v>
      </c>
      <c r="F27" s="2" t="s">
        <v>61</v>
      </c>
      <c r="G27" s="17">
        <v>400</v>
      </c>
      <c r="H27" s="2">
        <v>40</v>
      </c>
      <c r="I27" s="2" t="s">
        <v>14</v>
      </c>
    </row>
    <row r="28" spans="1:14" ht="15.75" customHeight="1">
      <c r="A28" s="2" t="s">
        <v>62</v>
      </c>
      <c r="B28" s="25">
        <v>46088</v>
      </c>
      <c r="C28" s="2" t="str">
        <f>RIGHT(Table1[[#This Row],[Product ID]],2)</f>
        <v>CA</v>
      </c>
      <c r="D28" s="2" t="str">
        <f>_xlfn.CONCAT(Table1[[#This Row],[Brand Name]]," ",Table1[[#This Row],[Product Name]])</f>
        <v>Zara Dress</v>
      </c>
      <c r="E28" s="13" t="s">
        <v>98</v>
      </c>
      <c r="F28" s="2" t="s">
        <v>63</v>
      </c>
      <c r="G28" s="17">
        <v>60</v>
      </c>
      <c r="H28" s="2">
        <v>30</v>
      </c>
      <c r="I28" s="2" t="s">
        <v>11</v>
      </c>
    </row>
    <row r="29" spans="1:14" ht="15.75" customHeight="1">
      <c r="A29" s="3" t="s">
        <v>64</v>
      </c>
      <c r="B29" s="26">
        <v>46125</v>
      </c>
      <c r="C29" s="3" t="str">
        <f>RIGHT(Table1[[#This Row],[Product ID]],2)</f>
        <v>CA</v>
      </c>
      <c r="D29" s="3" t="str">
        <f>_xlfn.CONCAT(Table1[[#This Row],[Brand Name]]," ",Table1[[#This Row],[Product Name]])</f>
        <v>Hamilton Toaster</v>
      </c>
      <c r="E29" s="14" t="s">
        <v>99</v>
      </c>
      <c r="F29" s="3" t="s">
        <v>65</v>
      </c>
      <c r="G29" s="18">
        <v>40</v>
      </c>
      <c r="H29" s="3">
        <v>10</v>
      </c>
      <c r="I29" s="3" t="s">
        <v>14</v>
      </c>
    </row>
    <row r="30" spans="1:14" ht="15.75" customHeight="1">
      <c r="A30" s="2" t="s">
        <v>66</v>
      </c>
      <c r="B30" s="25">
        <v>46166</v>
      </c>
      <c r="C30" s="2" t="str">
        <f>RIGHT(Table1[[#This Row],[Product ID]],2)</f>
        <v>CA</v>
      </c>
      <c r="D30" s="2" t="str">
        <f>_xlfn.CONCAT(Table1[[#This Row],[Brand Name]]," ",Table1[[#This Row],[Product Name]])</f>
        <v>Garmin Fitness Tracker</v>
      </c>
      <c r="E30" s="13" t="s">
        <v>97</v>
      </c>
      <c r="F30" s="2" t="s">
        <v>67</v>
      </c>
      <c r="G30" s="17">
        <v>130</v>
      </c>
      <c r="H30" s="2">
        <v>5</v>
      </c>
      <c r="I30" s="2" t="s">
        <v>8</v>
      </c>
    </row>
    <row r="31" spans="1:14" ht="15.75" customHeight="1">
      <c r="A31" s="3" t="s">
        <v>68</v>
      </c>
      <c r="B31" s="26">
        <v>46358</v>
      </c>
      <c r="C31" s="3" t="str">
        <f>RIGHT(Table1[[#This Row],[Product ID]],2)</f>
        <v>CA</v>
      </c>
      <c r="D31" s="3" t="str">
        <f>_xlfn.CONCAT(Table1[[#This Row],[Brand Name]]," ",Table1[[#This Row],[Product Name]])</f>
        <v>Levi's Jeans</v>
      </c>
      <c r="E31" s="14" t="s">
        <v>100</v>
      </c>
      <c r="F31" s="3" t="s">
        <v>69</v>
      </c>
      <c r="G31" s="18">
        <v>50</v>
      </c>
      <c r="H31" s="3">
        <v>50</v>
      </c>
      <c r="I31" s="3" t="s">
        <v>11</v>
      </c>
    </row>
    <row r="32" spans="1:14" ht="15.75" customHeight="1">
      <c r="A32" s="3" t="s">
        <v>70</v>
      </c>
      <c r="B32" s="26">
        <v>46212</v>
      </c>
      <c r="C32" s="3" t="str">
        <f>RIGHT(Table1[[#This Row],[Product ID]],2)</f>
        <v>FR</v>
      </c>
      <c r="D32" s="3" t="str">
        <f>_xlfn.CONCAT(Table1[[#This Row],[Brand Name]]," ",Table1[[#This Row],[Product Name]])</f>
        <v>Casio Watch</v>
      </c>
      <c r="E32" s="14" t="s">
        <v>101</v>
      </c>
      <c r="F32" s="3" t="s">
        <v>71</v>
      </c>
      <c r="G32" s="18">
        <v>100</v>
      </c>
      <c r="H32" s="3">
        <v>20</v>
      </c>
      <c r="I32" s="3" t="s">
        <v>41</v>
      </c>
    </row>
    <row r="33" spans="2:13" ht="15.75" customHeight="1"/>
    <row r="34" spans="2:13" ht="15.75" customHeight="1">
      <c r="H34" s="8" t="s">
        <v>105</v>
      </c>
    </row>
    <row r="35" spans="2:13" ht="15.75" customHeight="1">
      <c r="B35" s="28" t="s">
        <v>119</v>
      </c>
    </row>
    <row r="36" spans="2:13" ht="15.75" customHeight="1">
      <c r="H36" s="7" t="s">
        <v>106</v>
      </c>
      <c r="I36" s="7"/>
      <c r="J36" s="7"/>
      <c r="K36" s="7"/>
      <c r="L36" s="7"/>
      <c r="M36" s="7"/>
    </row>
    <row r="37" spans="2:13" ht="15.75" customHeight="1">
      <c r="B37" s="23" t="s">
        <v>120</v>
      </c>
      <c r="C37" s="7"/>
      <c r="D37" s="7"/>
      <c r="H37" s="7" t="s">
        <v>107</v>
      </c>
      <c r="I37" s="7"/>
    </row>
    <row r="38" spans="2:13" ht="15.75" customHeight="1"/>
    <row r="39" spans="2:13" ht="15.75" customHeight="1">
      <c r="B39" s="22" t="s">
        <v>121</v>
      </c>
    </row>
    <row r="40" spans="2:13" ht="15.75" customHeight="1"/>
    <row r="41" spans="2:13" ht="15.75" customHeight="1">
      <c r="B41" s="24" t="s">
        <v>123</v>
      </c>
      <c r="C41" s="7"/>
      <c r="D41" s="7"/>
      <c r="E41" s="7"/>
    </row>
    <row r="42" spans="2:13" ht="15.75" customHeight="1">
      <c r="B42" s="23" t="s">
        <v>122</v>
      </c>
    </row>
    <row r="43" spans="2:13" ht="15.75" customHeight="1"/>
    <row r="44" spans="2:13" ht="15.75" customHeight="1">
      <c r="B44" s="27" t="s">
        <v>124</v>
      </c>
    </row>
    <row r="45" spans="2:13" ht="15.75" customHeight="1"/>
    <row r="46" spans="2:13" ht="15.75" customHeight="1">
      <c r="B46" s="28" t="s">
        <v>125</v>
      </c>
    </row>
    <row r="47" spans="2:13" ht="15.75" customHeight="1">
      <c r="B47" s="24" t="s">
        <v>128</v>
      </c>
      <c r="C47" s="7"/>
      <c r="D47" s="7"/>
      <c r="E47" s="7"/>
      <c r="F47" s="7"/>
    </row>
    <row r="48" spans="2:13" ht="15.75" customHeight="1">
      <c r="B48" s="23" t="s">
        <v>126</v>
      </c>
      <c r="C48" s="7"/>
      <c r="D48" s="7"/>
      <c r="E48" s="7"/>
      <c r="F48" s="7"/>
    </row>
    <row r="49" spans="2:13" ht="15.75" customHeight="1">
      <c r="B49" s="23" t="s">
        <v>127</v>
      </c>
      <c r="C49" s="7"/>
      <c r="D49" s="15"/>
      <c r="E49" s="15"/>
      <c r="F49" s="15"/>
    </row>
    <row r="50" spans="2:13" ht="15.75" customHeight="1"/>
    <row r="51" spans="2:13" ht="15.75" customHeight="1"/>
    <row r="52" spans="2:13" ht="15.75" customHeight="1">
      <c r="H52" s="8" t="s">
        <v>108</v>
      </c>
    </row>
    <row r="53" spans="2:13" ht="15.75" customHeight="1"/>
    <row r="54" spans="2:13" ht="15.75" customHeight="1">
      <c r="H54" s="9" t="s">
        <v>109</v>
      </c>
      <c r="I54" s="7"/>
      <c r="J54" s="7"/>
      <c r="K54" s="7"/>
      <c r="L54" s="7"/>
      <c r="M54" s="7"/>
    </row>
    <row r="55" spans="2:13" ht="15.75" customHeight="1">
      <c r="H55" s="7" t="s">
        <v>110</v>
      </c>
      <c r="I55" s="7"/>
      <c r="J55" s="7"/>
      <c r="K55" s="7"/>
      <c r="L55" s="15"/>
    </row>
    <row r="56" spans="2:13" ht="15.75" customHeight="1"/>
    <row r="57" spans="2:13" ht="15.75" customHeight="1">
      <c r="H57" s="11" t="s">
        <v>113</v>
      </c>
    </row>
    <row r="58" spans="2:13" ht="15.75" customHeight="1">
      <c r="H58" s="11" t="s">
        <v>114</v>
      </c>
    </row>
    <row r="59" spans="2:13" ht="15.75" customHeight="1"/>
    <row r="60" spans="2:13" ht="15.75" customHeight="1"/>
    <row r="61" spans="2:13" ht="15.75" customHeight="1">
      <c r="H61" s="7" t="s">
        <v>115</v>
      </c>
      <c r="I61" s="7"/>
      <c r="J61" s="7"/>
      <c r="K61" s="7"/>
      <c r="L61" s="7"/>
    </row>
    <row r="62" spans="2:13" ht="15.75" customHeight="1">
      <c r="H62" s="7" t="s">
        <v>116</v>
      </c>
    </row>
    <row r="63" spans="2:13" ht="15.75" customHeight="1"/>
    <row r="64" spans="2:13" ht="15.75" customHeight="1">
      <c r="H64" t="s">
        <v>118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7" type="noConversion"/>
  <conditionalFormatting sqref="G1:G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{D1415627-55CF-4300-B6BE-499A542C8E61}</x14:id>
        </ext>
      </extLst>
    </cfRule>
  </conditionalFormatting>
  <conditionalFormatting sqref="I1:I1048576">
    <cfRule type="cellIs" priority="2" operator="equal">
      <formula>"Electronics"</formula>
    </cfRule>
  </conditionalFormatting>
  <conditionalFormatting sqref="I2:I32">
    <cfRule type="cellIs" dxfId="0" priority="1" operator="equal">
      <formula>$I$15</formula>
    </cfRule>
  </conditionalFormatting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415627-55CF-4300-B6BE-499A542C8E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M</dc:creator>
  <cp:lastModifiedBy>Durga M</cp:lastModifiedBy>
  <dcterms:created xsi:type="dcterms:W3CDTF">2026-07-23T14:43:37Z</dcterms:created>
  <dcterms:modified xsi:type="dcterms:W3CDTF">2026-09-26T21:28:38Z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